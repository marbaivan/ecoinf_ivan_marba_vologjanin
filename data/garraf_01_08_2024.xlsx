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ivan\OneDrive - Universitat de Barcelona\Escritorio\TFG\dadesR\"/>
    </mc:Choice>
  </mc:AlternateContent>
  <xr:revisionPtr revIDLastSave="0" documentId="13_ncr:1_{82505822-5A93-4DB4-AE4A-67FE8F92C2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3" i="1"/>
  <c r="K4" i="1"/>
  <c r="K5" i="1"/>
  <c r="K6" i="1"/>
  <c r="K7" i="1"/>
  <c r="K8" i="1"/>
  <c r="K9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H12" i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" i="1"/>
  <c r="H4" i="1" s="1"/>
  <c r="H5" i="1" s="1"/>
  <c r="H6" i="1" s="1"/>
  <c r="H7" i="1" s="1"/>
  <c r="H8" i="1" s="1"/>
  <c r="H9" i="1" s="1"/>
</calcChain>
</file>

<file path=xl/sharedStrings.xml><?xml version="1.0" encoding="utf-8"?>
<sst xmlns="http://schemas.openxmlformats.org/spreadsheetml/2006/main" count="135" uniqueCount="49">
  <si>
    <t>TREE IA</t>
  </si>
  <si>
    <t>STATUS</t>
  </si>
  <si>
    <t>H(m)</t>
  </si>
  <si>
    <t>ID CORES</t>
  </si>
  <si>
    <t>BARK (cm)</t>
  </si>
  <si>
    <t>GPS</t>
  </si>
  <si>
    <t>OBSERVACIONS</t>
  </si>
  <si>
    <t>PHA001</t>
  </si>
  <si>
    <t>D</t>
  </si>
  <si>
    <t>A &amp; B</t>
  </si>
  <si>
    <t>PHD002</t>
  </si>
  <si>
    <t>PHA003</t>
  </si>
  <si>
    <t>PHD004</t>
  </si>
  <si>
    <t>PHA005</t>
  </si>
  <si>
    <t>PHD006</t>
  </si>
  <si>
    <t>PHD007</t>
  </si>
  <si>
    <t>PHA008</t>
  </si>
  <si>
    <t>PHD009</t>
  </si>
  <si>
    <t>49-51</t>
  </si>
  <si>
    <t>GPS marques de 49 a 51</t>
  </si>
  <si>
    <t>PHA010</t>
  </si>
  <si>
    <t>PHA011</t>
  </si>
  <si>
    <t>PHD012</t>
  </si>
  <si>
    <t>PHA013</t>
  </si>
  <si>
    <t>PHD014</t>
  </si>
  <si>
    <t>PHD015</t>
  </si>
  <si>
    <t>PHA016</t>
  </si>
  <si>
    <t>PHD017</t>
  </si>
  <si>
    <t>PHA018</t>
  </si>
  <si>
    <t>PHD019</t>
  </si>
  <si>
    <t>PHA020</t>
  </si>
  <si>
    <t>PHA021</t>
  </si>
  <si>
    <t>Decaïment</t>
  </si>
  <si>
    <t>PHD022</t>
  </si>
  <si>
    <t>PHD023</t>
  </si>
  <si>
    <t>PHA024</t>
  </si>
  <si>
    <t>D/M</t>
  </si>
  <si>
    <t>PHA025</t>
  </si>
  <si>
    <t>PHD026</t>
  </si>
  <si>
    <t>PHD027</t>
  </si>
  <si>
    <t>PHA028</t>
  </si>
  <si>
    <t>PHA029</t>
  </si>
  <si>
    <t>PHD030</t>
  </si>
  <si>
    <t>DBH (cm)</t>
  </si>
  <si>
    <t>Pines</t>
  </si>
  <si>
    <t>Yes</t>
  </si>
  <si>
    <t>PAIR</t>
  </si>
  <si>
    <t>DBH corrected (mm)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</si>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</sst>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70" zoomScaleNormal="70" workbookViewId="0">
      <selection activeCell="B2" sqref="B2:B31"/>
    </sheetView>
  </sheetViews>
  <sheetFormatPr defaultColWidth="12.6640625" defaultRowHeight="15.75" customHeight="1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3</v>
      </c>
      <c r="G1" s="1" t="s">
        <v>4</v>
      </c>
      <c r="H1" s="1" t="s">
        <v>5</v>
      </c>
      <c r="I1" s="1" t="s">
        <v>46</v>
      </c>
      <c r="J1" s="1" t="s">
        <v>6</v>
      </c>
      <c r="K1" s="1" t="s">
        <v>47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7</v>
      </c>
      <c r="B2" s="2" t="s">
        <v>48</v>
      </c>
      <c r="C2" s="2">
        <v>15.1</v>
      </c>
      <c r="D2" s="2">
        <v>46.5</v>
      </c>
      <c r="E2" s="2" t="s">
        <v>45</v>
      </c>
      <c r="F2" s="2" t="s">
        <v>9</v>
      </c>
      <c r="G2" s="2">
        <v>1.4</v>
      </c>
      <c r="H2" s="2">
        <v>41</v>
      </c>
      <c r="I2" s="2">
        <v>1</v>
      </c>
      <c r="K2">
        <f>(D2-(2*G2))*10</f>
        <v>437</v>
      </c>
    </row>
    <row r="3" spans="1:26" x14ac:dyDescent="0.25">
      <c r="A3" s="1" t="s">
        <v>10</v>
      </c>
      <c r="B3" s="2" t="s">
        <v>8</v>
      </c>
      <c r="C3" s="2">
        <v>9.6999999999999993</v>
      </c>
      <c r="D3" s="2">
        <v>41.4</v>
      </c>
      <c r="E3" s="2" t="s">
        <v>45</v>
      </c>
      <c r="F3" s="2" t="s">
        <v>9</v>
      </c>
      <c r="G3" s="2">
        <v>2.4</v>
      </c>
      <c r="H3" s="2">
        <f t="shared" ref="H3:H8" si="0">H2+1</f>
        <v>42</v>
      </c>
      <c r="I3" s="2">
        <v>1</v>
      </c>
      <c r="K3">
        <f t="shared" ref="K3:K31" si="1">(D3-(2*G3))*10</f>
        <v>366</v>
      </c>
    </row>
    <row r="4" spans="1:26" x14ac:dyDescent="0.25">
      <c r="A4" s="1" t="s">
        <v>11</v>
      </c>
      <c r="B4" s="2" t="s">
        <v>48</v>
      </c>
      <c r="C4" s="2">
        <v>11.2</v>
      </c>
      <c r="D4" s="2">
        <v>47</v>
      </c>
      <c r="E4" s="2" t="s">
        <v>45</v>
      </c>
      <c r="F4" s="2" t="s">
        <v>9</v>
      </c>
      <c r="G4" s="2">
        <v>5</v>
      </c>
      <c r="H4" s="2">
        <f t="shared" si="0"/>
        <v>43</v>
      </c>
      <c r="I4" s="2">
        <v>2</v>
      </c>
      <c r="K4">
        <f t="shared" si="1"/>
        <v>370</v>
      </c>
    </row>
    <row r="5" spans="1:26" x14ac:dyDescent="0.25">
      <c r="A5" s="1" t="s">
        <v>12</v>
      </c>
      <c r="B5" s="2" t="s">
        <v>8</v>
      </c>
      <c r="C5" s="2">
        <v>6.3</v>
      </c>
      <c r="D5" s="2">
        <v>30.8</v>
      </c>
      <c r="E5" s="2" t="s">
        <v>45</v>
      </c>
      <c r="F5" s="2" t="s">
        <v>9</v>
      </c>
      <c r="G5" s="2">
        <v>4.9000000000000004</v>
      </c>
      <c r="H5" s="2">
        <f t="shared" si="0"/>
        <v>44</v>
      </c>
      <c r="I5" s="2">
        <v>2</v>
      </c>
      <c r="K5">
        <f t="shared" si="1"/>
        <v>210</v>
      </c>
    </row>
    <row r="6" spans="1:26" x14ac:dyDescent="0.25">
      <c r="A6" s="1" t="s">
        <v>13</v>
      </c>
      <c r="B6" s="2" t="s">
        <v>48</v>
      </c>
      <c r="C6" s="2">
        <v>9.1</v>
      </c>
      <c r="D6" s="2">
        <v>26.2</v>
      </c>
      <c r="E6" s="2" t="s">
        <v>45</v>
      </c>
      <c r="F6" s="2" t="s">
        <v>9</v>
      </c>
      <c r="G6" s="2">
        <v>1.7</v>
      </c>
      <c r="H6" s="2">
        <f t="shared" si="0"/>
        <v>45</v>
      </c>
      <c r="I6" s="2">
        <v>3</v>
      </c>
      <c r="K6">
        <f t="shared" si="1"/>
        <v>228</v>
      </c>
    </row>
    <row r="7" spans="1:26" x14ac:dyDescent="0.25">
      <c r="A7" s="1" t="s">
        <v>14</v>
      </c>
      <c r="B7" s="2" t="s">
        <v>8</v>
      </c>
      <c r="C7" s="2">
        <v>8.3000000000000007</v>
      </c>
      <c r="D7" s="2">
        <v>34.9</v>
      </c>
      <c r="E7" s="2" t="s">
        <v>45</v>
      </c>
      <c r="F7" s="2" t="s">
        <v>9</v>
      </c>
      <c r="G7" s="2">
        <v>1</v>
      </c>
      <c r="H7" s="2">
        <f t="shared" si="0"/>
        <v>46</v>
      </c>
      <c r="I7" s="2">
        <v>3</v>
      </c>
      <c r="K7">
        <f t="shared" si="1"/>
        <v>329</v>
      </c>
    </row>
    <row r="8" spans="1:26" x14ac:dyDescent="0.25">
      <c r="A8" s="1" t="s">
        <v>15</v>
      </c>
      <c r="B8" s="2" t="s">
        <v>8</v>
      </c>
      <c r="C8" s="2">
        <v>10</v>
      </c>
      <c r="D8" s="2">
        <v>38.4</v>
      </c>
      <c r="E8" s="2" t="s">
        <v>45</v>
      </c>
      <c r="F8" s="2" t="s">
        <v>9</v>
      </c>
      <c r="G8" s="2">
        <v>1.5</v>
      </c>
      <c r="H8" s="2">
        <f t="shared" si="0"/>
        <v>47</v>
      </c>
      <c r="I8" s="2">
        <v>4</v>
      </c>
      <c r="K8">
        <f t="shared" si="1"/>
        <v>354</v>
      </c>
    </row>
    <row r="9" spans="1:26" x14ac:dyDescent="0.25">
      <c r="A9" s="1" t="s">
        <v>16</v>
      </c>
      <c r="B9" s="2" t="s">
        <v>48</v>
      </c>
      <c r="C9" s="2">
        <v>10.8</v>
      </c>
      <c r="D9" s="2">
        <v>38.799999999999997</v>
      </c>
      <c r="E9" s="2" t="s">
        <v>45</v>
      </c>
      <c r="F9" s="2" t="s">
        <v>9</v>
      </c>
      <c r="G9" s="2">
        <v>2.2000000000000002</v>
      </c>
      <c r="H9" s="2">
        <f>H8+1</f>
        <v>48</v>
      </c>
      <c r="I9" s="2">
        <v>4</v>
      </c>
      <c r="K9">
        <f t="shared" si="1"/>
        <v>344</v>
      </c>
    </row>
    <row r="10" spans="1:26" x14ac:dyDescent="0.25">
      <c r="A10" s="1" t="s">
        <v>17</v>
      </c>
      <c r="B10" s="2" t="s">
        <v>8</v>
      </c>
      <c r="C10" s="2">
        <v>17.399999999999999</v>
      </c>
      <c r="D10" s="2">
        <v>67.3</v>
      </c>
      <c r="E10" s="2" t="s">
        <v>45</v>
      </c>
      <c r="F10" s="2" t="s">
        <v>9</v>
      </c>
      <c r="G10" s="2">
        <v>4.5</v>
      </c>
      <c r="H10" s="2" t="s">
        <v>18</v>
      </c>
      <c r="I10" s="2">
        <v>5</v>
      </c>
      <c r="J10" s="2" t="s">
        <v>19</v>
      </c>
      <c r="K10">
        <f t="shared" si="1"/>
        <v>583</v>
      </c>
    </row>
    <row r="11" spans="1:26" x14ac:dyDescent="0.25">
      <c r="A11" s="1" t="s">
        <v>20</v>
      </c>
      <c r="B11" s="2" t="s">
        <v>48</v>
      </c>
      <c r="C11" s="2">
        <v>9.6</v>
      </c>
      <c r="D11" s="2">
        <v>55</v>
      </c>
      <c r="E11" s="2" t="s">
        <v>45</v>
      </c>
      <c r="F11" s="2" t="s">
        <v>9</v>
      </c>
      <c r="G11" s="2">
        <v>4</v>
      </c>
      <c r="H11" s="2">
        <v>52</v>
      </c>
      <c r="I11" s="2">
        <v>5</v>
      </c>
      <c r="K11">
        <f t="shared" si="1"/>
        <v>470</v>
      </c>
      <c r="O11" s="1"/>
      <c r="P11" s="2"/>
      <c r="Q11" s="2"/>
      <c r="R11" s="2"/>
      <c r="S11" s="2"/>
      <c r="T11" s="2"/>
      <c r="U11" s="2"/>
      <c r="V11" s="2"/>
      <c r="W11" s="2"/>
      <c r="X11" s="2"/>
    </row>
    <row r="12" spans="1:26" x14ac:dyDescent="0.25">
      <c r="A12" s="1" t="s">
        <v>21</v>
      </c>
      <c r="B12" s="2" t="s">
        <v>48</v>
      </c>
      <c r="C12" s="2">
        <v>10.8</v>
      </c>
      <c r="D12" s="2">
        <v>47.6</v>
      </c>
      <c r="E12" s="2" t="s">
        <v>45</v>
      </c>
      <c r="F12" s="2" t="s">
        <v>9</v>
      </c>
      <c r="G12" s="2">
        <v>4</v>
      </c>
      <c r="H12" s="2">
        <f t="shared" ref="H12:H31" si="2">H11+1</f>
        <v>53</v>
      </c>
      <c r="I12" s="2">
        <v>6</v>
      </c>
      <c r="K12">
        <f t="shared" si="1"/>
        <v>396</v>
      </c>
    </row>
    <row r="13" spans="1:26" x14ac:dyDescent="0.25">
      <c r="A13" s="1" t="s">
        <v>22</v>
      </c>
      <c r="B13" s="2" t="s">
        <v>8</v>
      </c>
      <c r="C13" s="2">
        <v>8.1999999999999993</v>
      </c>
      <c r="D13" s="2">
        <v>28</v>
      </c>
      <c r="E13" s="2" t="s">
        <v>45</v>
      </c>
      <c r="F13" s="2" t="s">
        <v>9</v>
      </c>
      <c r="G13" s="2">
        <v>3</v>
      </c>
      <c r="H13" s="2">
        <f t="shared" si="2"/>
        <v>54</v>
      </c>
      <c r="I13" s="2">
        <v>6</v>
      </c>
      <c r="K13">
        <f t="shared" si="1"/>
        <v>220</v>
      </c>
    </row>
    <row r="14" spans="1:26" x14ac:dyDescent="0.25">
      <c r="A14" s="1" t="s">
        <v>23</v>
      </c>
      <c r="B14" s="2" t="s">
        <v>48</v>
      </c>
      <c r="C14" s="2">
        <v>7.6</v>
      </c>
      <c r="D14" s="2">
        <v>49.6</v>
      </c>
      <c r="E14" s="2" t="s">
        <v>45</v>
      </c>
      <c r="F14" s="2" t="s">
        <v>9</v>
      </c>
      <c r="G14" s="2">
        <v>3.4</v>
      </c>
      <c r="H14" s="2">
        <f t="shared" si="2"/>
        <v>55</v>
      </c>
      <c r="I14" s="2">
        <v>7</v>
      </c>
      <c r="K14">
        <f t="shared" si="1"/>
        <v>428.00000000000006</v>
      </c>
    </row>
    <row r="15" spans="1:26" x14ac:dyDescent="0.25">
      <c r="A15" s="1" t="s">
        <v>24</v>
      </c>
      <c r="B15" s="2" t="s">
        <v>8</v>
      </c>
      <c r="C15" s="2">
        <v>7.9</v>
      </c>
      <c r="D15" s="2">
        <v>41.5</v>
      </c>
      <c r="E15" s="2" t="s">
        <v>45</v>
      </c>
      <c r="F15" s="2" t="s">
        <v>9</v>
      </c>
      <c r="G15" s="2">
        <v>3</v>
      </c>
      <c r="H15" s="2">
        <f t="shared" si="2"/>
        <v>56</v>
      </c>
      <c r="I15" s="2">
        <v>7</v>
      </c>
      <c r="K15">
        <f t="shared" si="1"/>
        <v>355</v>
      </c>
    </row>
    <row r="16" spans="1:26" x14ac:dyDescent="0.25">
      <c r="A16" s="1" t="s">
        <v>25</v>
      </c>
      <c r="B16" s="2" t="s">
        <v>8</v>
      </c>
      <c r="C16" s="2">
        <v>9.1</v>
      </c>
      <c r="D16" s="2">
        <v>41.5</v>
      </c>
      <c r="E16" s="2" t="s">
        <v>45</v>
      </c>
      <c r="F16" s="2" t="s">
        <v>9</v>
      </c>
      <c r="G16" s="2">
        <v>3</v>
      </c>
      <c r="H16" s="2">
        <f t="shared" si="2"/>
        <v>57</v>
      </c>
      <c r="I16" s="2">
        <v>8</v>
      </c>
      <c r="K16">
        <f t="shared" si="1"/>
        <v>355</v>
      </c>
    </row>
    <row r="17" spans="1:11" x14ac:dyDescent="0.25">
      <c r="A17" s="1" t="s">
        <v>26</v>
      </c>
      <c r="B17" s="2" t="s">
        <v>48</v>
      </c>
      <c r="C17" s="2">
        <v>9.1</v>
      </c>
      <c r="D17" s="2">
        <v>43</v>
      </c>
      <c r="E17" s="2" t="s">
        <v>45</v>
      </c>
      <c r="F17" s="2" t="s">
        <v>9</v>
      </c>
      <c r="G17" s="2">
        <v>3</v>
      </c>
      <c r="H17" s="2">
        <f t="shared" si="2"/>
        <v>58</v>
      </c>
      <c r="I17" s="2">
        <v>8</v>
      </c>
      <c r="K17">
        <f t="shared" si="1"/>
        <v>370</v>
      </c>
    </row>
    <row r="18" spans="1:11" x14ac:dyDescent="0.25">
      <c r="A18" s="1" t="s">
        <v>27</v>
      </c>
      <c r="B18" s="2" t="s">
        <v>8</v>
      </c>
      <c r="C18" s="2">
        <v>9.5</v>
      </c>
      <c r="D18" s="2">
        <v>39.4</v>
      </c>
      <c r="E18" s="2" t="s">
        <v>45</v>
      </c>
      <c r="F18" s="2" t="s">
        <v>9</v>
      </c>
      <c r="G18" s="2">
        <v>3</v>
      </c>
      <c r="H18" s="2">
        <f t="shared" si="2"/>
        <v>59</v>
      </c>
      <c r="I18" s="2">
        <v>9</v>
      </c>
      <c r="K18">
        <f t="shared" si="1"/>
        <v>334</v>
      </c>
    </row>
    <row r="19" spans="1:11" x14ac:dyDescent="0.25">
      <c r="A19" s="1" t="s">
        <v>28</v>
      </c>
      <c r="B19" s="2" t="s">
        <v>48</v>
      </c>
      <c r="C19" s="2">
        <v>6.7</v>
      </c>
      <c r="D19" s="2">
        <v>43.2</v>
      </c>
      <c r="E19" s="2" t="s">
        <v>45</v>
      </c>
      <c r="F19" s="2" t="s">
        <v>9</v>
      </c>
      <c r="G19" s="2">
        <v>2.5</v>
      </c>
      <c r="H19" s="2">
        <f t="shared" si="2"/>
        <v>60</v>
      </c>
      <c r="I19" s="2">
        <v>9</v>
      </c>
      <c r="K19">
        <f t="shared" si="1"/>
        <v>382</v>
      </c>
    </row>
    <row r="20" spans="1:11" x14ac:dyDescent="0.25">
      <c r="A20" s="1" t="s">
        <v>29</v>
      </c>
      <c r="B20" s="2" t="s">
        <v>8</v>
      </c>
      <c r="C20" s="2">
        <v>10.1</v>
      </c>
      <c r="D20" s="2">
        <v>43.2</v>
      </c>
      <c r="E20" s="2" t="s">
        <v>45</v>
      </c>
      <c r="F20" s="2" t="s">
        <v>9</v>
      </c>
      <c r="G20" s="2">
        <v>2.8</v>
      </c>
      <c r="H20" s="2">
        <f t="shared" si="2"/>
        <v>61</v>
      </c>
      <c r="I20" s="2">
        <v>10</v>
      </c>
      <c r="K20">
        <f t="shared" si="1"/>
        <v>376</v>
      </c>
    </row>
    <row r="21" spans="1:11" x14ac:dyDescent="0.25">
      <c r="A21" s="1" t="s">
        <v>30</v>
      </c>
      <c r="B21" s="2" t="s">
        <v>48</v>
      </c>
      <c r="C21" s="2">
        <v>8.5</v>
      </c>
      <c r="D21" s="2">
        <v>48.4</v>
      </c>
      <c r="E21" s="2" t="s">
        <v>45</v>
      </c>
      <c r="F21" s="2" t="s">
        <v>9</v>
      </c>
      <c r="G21" s="2">
        <v>5</v>
      </c>
      <c r="H21" s="2">
        <f t="shared" si="2"/>
        <v>62</v>
      </c>
      <c r="I21" s="2">
        <v>10</v>
      </c>
      <c r="K21">
        <f t="shared" si="1"/>
        <v>384</v>
      </c>
    </row>
    <row r="22" spans="1:11" x14ac:dyDescent="0.25">
      <c r="A22" s="1" t="s">
        <v>31</v>
      </c>
      <c r="B22" s="2" t="s">
        <v>48</v>
      </c>
      <c r="C22" s="2">
        <v>7</v>
      </c>
      <c r="D22" s="2">
        <v>23.5</v>
      </c>
      <c r="E22" s="2" t="s">
        <v>45</v>
      </c>
      <c r="F22" s="2" t="s">
        <v>9</v>
      </c>
      <c r="G22" s="2">
        <v>4</v>
      </c>
      <c r="H22" s="2">
        <f t="shared" si="2"/>
        <v>63</v>
      </c>
      <c r="I22" s="2">
        <v>11</v>
      </c>
      <c r="J22" s="2" t="s">
        <v>32</v>
      </c>
      <c r="K22">
        <f t="shared" si="1"/>
        <v>155</v>
      </c>
    </row>
    <row r="23" spans="1:11" x14ac:dyDescent="0.25">
      <c r="A23" s="1" t="s">
        <v>33</v>
      </c>
      <c r="B23" s="2" t="s">
        <v>8</v>
      </c>
      <c r="C23" s="2">
        <v>7.4</v>
      </c>
      <c r="D23" s="2">
        <v>29.2</v>
      </c>
      <c r="E23" s="2" t="s">
        <v>45</v>
      </c>
      <c r="F23" s="2" t="s">
        <v>9</v>
      </c>
      <c r="G23" s="2">
        <v>4</v>
      </c>
      <c r="H23" s="2">
        <f t="shared" si="2"/>
        <v>64</v>
      </c>
      <c r="I23" s="2">
        <v>11</v>
      </c>
      <c r="K23">
        <f t="shared" si="1"/>
        <v>212</v>
      </c>
    </row>
    <row r="24" spans="1:11" x14ac:dyDescent="0.25">
      <c r="A24" s="1" t="s">
        <v>34</v>
      </c>
      <c r="B24" s="2" t="s">
        <v>8</v>
      </c>
      <c r="C24" s="2">
        <v>8.4</v>
      </c>
      <c r="D24" s="2">
        <v>31.5</v>
      </c>
      <c r="E24" s="2" t="s">
        <v>45</v>
      </c>
      <c r="F24" s="2" t="s">
        <v>9</v>
      </c>
      <c r="G24" s="2">
        <v>2.8</v>
      </c>
      <c r="H24" s="2">
        <f t="shared" si="2"/>
        <v>65</v>
      </c>
      <c r="I24" s="2">
        <v>12</v>
      </c>
      <c r="K24">
        <f t="shared" si="1"/>
        <v>259</v>
      </c>
    </row>
    <row r="25" spans="1:11" x14ac:dyDescent="0.25">
      <c r="A25" s="1" t="s">
        <v>35</v>
      </c>
      <c r="B25" s="2" t="s">
        <v>48</v>
      </c>
      <c r="C25" s="2">
        <v>6.7</v>
      </c>
      <c r="D25" s="2">
        <v>23.2</v>
      </c>
      <c r="E25" s="2" t="s">
        <v>45</v>
      </c>
      <c r="F25" s="2" t="s">
        <v>9</v>
      </c>
      <c r="G25" s="2">
        <v>2</v>
      </c>
      <c r="H25" s="2">
        <f t="shared" si="2"/>
        <v>66</v>
      </c>
      <c r="I25" s="2">
        <v>12</v>
      </c>
      <c r="J25" t="s">
        <v>36</v>
      </c>
      <c r="K25">
        <f t="shared" si="1"/>
        <v>192</v>
      </c>
    </row>
    <row r="26" spans="1:11" x14ac:dyDescent="0.25">
      <c r="A26" s="1" t="s">
        <v>37</v>
      </c>
      <c r="B26" s="2" t="s">
        <v>48</v>
      </c>
      <c r="C26" s="2">
        <v>9.1999999999999993</v>
      </c>
      <c r="D26" s="2">
        <v>32</v>
      </c>
      <c r="E26" s="2" t="s">
        <v>45</v>
      </c>
      <c r="F26" s="2" t="s">
        <v>9</v>
      </c>
      <c r="G26" s="2">
        <v>2.9</v>
      </c>
      <c r="H26" s="2">
        <f t="shared" si="2"/>
        <v>67</v>
      </c>
      <c r="I26" s="2">
        <v>13</v>
      </c>
      <c r="K26">
        <f t="shared" si="1"/>
        <v>262</v>
      </c>
    </row>
    <row r="27" spans="1:11" x14ac:dyDescent="0.25">
      <c r="A27" s="1" t="s">
        <v>38</v>
      </c>
      <c r="B27" s="2" t="s">
        <v>8</v>
      </c>
      <c r="C27" s="2">
        <v>7.2</v>
      </c>
      <c r="D27" s="2">
        <v>34.200000000000003</v>
      </c>
      <c r="E27" s="2" t="s">
        <v>45</v>
      </c>
      <c r="F27" s="2" t="s">
        <v>9</v>
      </c>
      <c r="G27" s="2">
        <v>1.5</v>
      </c>
      <c r="H27" s="2">
        <f t="shared" si="2"/>
        <v>68</v>
      </c>
      <c r="I27" s="2">
        <v>13</v>
      </c>
      <c r="K27">
        <f t="shared" si="1"/>
        <v>312</v>
      </c>
    </row>
    <row r="28" spans="1:11" x14ac:dyDescent="0.25">
      <c r="A28" s="1" t="s">
        <v>39</v>
      </c>
      <c r="B28" s="2" t="s">
        <v>8</v>
      </c>
      <c r="C28" s="2">
        <v>6.9</v>
      </c>
      <c r="D28" s="2">
        <v>31.5</v>
      </c>
      <c r="E28" s="2" t="s">
        <v>45</v>
      </c>
      <c r="F28" s="2" t="s">
        <v>9</v>
      </c>
      <c r="G28" s="2">
        <v>2</v>
      </c>
      <c r="H28" s="2">
        <f t="shared" si="2"/>
        <v>69</v>
      </c>
      <c r="I28" s="2">
        <v>14</v>
      </c>
      <c r="K28">
        <f t="shared" si="1"/>
        <v>275</v>
      </c>
    </row>
    <row r="29" spans="1:11" x14ac:dyDescent="0.25">
      <c r="A29" s="1" t="s">
        <v>40</v>
      </c>
      <c r="B29" s="2" t="s">
        <v>48</v>
      </c>
      <c r="C29" s="2">
        <v>7.4</v>
      </c>
      <c r="D29" s="2">
        <v>32.200000000000003</v>
      </c>
      <c r="E29" s="2" t="s">
        <v>45</v>
      </c>
      <c r="F29" s="2" t="s">
        <v>9</v>
      </c>
      <c r="G29" s="2">
        <v>3</v>
      </c>
      <c r="H29" s="2">
        <f t="shared" si="2"/>
        <v>70</v>
      </c>
      <c r="I29" s="2">
        <v>14</v>
      </c>
      <c r="K29">
        <f t="shared" si="1"/>
        <v>262</v>
      </c>
    </row>
    <row r="30" spans="1:11" x14ac:dyDescent="0.25">
      <c r="A30" s="1" t="s">
        <v>41</v>
      </c>
      <c r="B30" s="2" t="s">
        <v>48</v>
      </c>
      <c r="C30" s="2">
        <v>8.4</v>
      </c>
      <c r="D30" s="2">
        <v>31</v>
      </c>
      <c r="E30" s="2" t="s">
        <v>45</v>
      </c>
      <c r="F30" s="2" t="s">
        <v>9</v>
      </c>
      <c r="G30" s="2">
        <v>2.2000000000000002</v>
      </c>
      <c r="H30" s="2">
        <f t="shared" si="2"/>
        <v>71</v>
      </c>
      <c r="I30" s="2">
        <v>15</v>
      </c>
      <c r="K30">
        <f t="shared" si="1"/>
        <v>266</v>
      </c>
    </row>
    <row r="31" spans="1:11" x14ac:dyDescent="0.25">
      <c r="A31" s="1" t="s">
        <v>42</v>
      </c>
      <c r="B31" s="2" t="s">
        <v>8</v>
      </c>
      <c r="C31" s="2">
        <v>9.1999999999999993</v>
      </c>
      <c r="D31" s="2">
        <v>34.5</v>
      </c>
      <c r="E31" s="2" t="s">
        <v>45</v>
      </c>
      <c r="F31" s="2" t="s">
        <v>9</v>
      </c>
      <c r="G31" s="2">
        <v>2.7</v>
      </c>
      <c r="H31" s="2">
        <f t="shared" si="2"/>
        <v>72</v>
      </c>
      <c r="I31" s="2">
        <v>15</v>
      </c>
      <c r="K31">
        <f t="shared" si="1"/>
        <v>291</v>
      </c>
    </row>
    <row r="32" spans="1:1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MARBA VOLOGJANIN</cp:lastModifiedBy>
  <dcterms:modified xsi:type="dcterms:W3CDTF">2025-06-07T08:19:53Z</dcterms:modified>
</cp:coreProperties>
</file>